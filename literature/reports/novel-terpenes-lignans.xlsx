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b42330c5a20e1e/Desktop/"/>
    </mc:Choice>
  </mc:AlternateContent>
  <xr:revisionPtr revIDLastSave="106" documentId="8_{EB3D371E-0B09-4B70-A5A6-A4D12799E017}" xr6:coauthVersionLast="47" xr6:coauthVersionMax="47" xr10:uidLastSave="{5C1363B1-6B68-4C27-BEDE-F3788AE5069D}"/>
  <bookViews>
    <workbookView xWindow="-110" yWindow="-110" windowWidth="19420" windowHeight="11500" xr2:uid="{FB854441-7702-41D1-AE9D-9518C5B6CB75}"/>
  </bookViews>
  <sheets>
    <sheet name="novel_terpenes_lignans" sheetId="2" r:id="rId1"/>
    <sheet name="Sheet1" sheetId="1" r:id="rId2"/>
  </sheets>
  <definedNames>
    <definedName name="ExternalData_1" localSheetId="0" hidden="1">novel_terpenes_lignans!$A$1:$H$14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DA4515-3DAC-4E1D-BDF7-AA5F9201AB94}" keepAlive="1" name="查询 - novel_terpenes_lignans" description="与工作簿中“novel_terpenes_lignans”查询的连接。" type="5" refreshedVersion="8" background="1" saveData="1">
    <dbPr connection="Provider=Microsoft.Mashup.OleDb.1;Data Source=$Workbook$;Location=novel_terpenes_lignans;Extended Properties=&quot;&quot;" command="SELECT * FROM [novel_terpenes_lignans]"/>
  </connection>
</connections>
</file>

<file path=xl/sharedStrings.xml><?xml version="1.0" encoding="utf-8"?>
<sst xmlns="http://schemas.openxmlformats.org/spreadsheetml/2006/main" count="112" uniqueCount="106">
  <si>
    <t>Column1</t>
  </si>
  <si>
    <t>Column2</t>
  </si>
  <si>
    <t>Column3</t>
  </si>
  <si>
    <t>Column4</t>
  </si>
  <si>
    <t>Column7</t>
  </si>
  <si>
    <t>compound_id</t>
  </si>
  <si>
    <t>name_cn</t>
  </si>
  <si>
    <t>name_en</t>
  </si>
  <si>
    <t>source_herb</t>
  </si>
  <si>
    <t>smiles</t>
  </si>
  <si>
    <t>druglikeness_note</t>
  </si>
  <si>
    <t>NV-001</t>
  </si>
  <si>
    <t>科罗索酸</t>
  </si>
  <si>
    <t>corosolic acid</t>
  </si>
  <si>
    <t>NV-002</t>
  </si>
  <si>
    <t>马斯里酸</t>
  </si>
  <si>
    <t>maslinic acid</t>
  </si>
  <si>
    <t>NV-003</t>
  </si>
  <si>
    <t>积雪草酸</t>
  </si>
  <si>
    <t>asiatic acid</t>
  </si>
  <si>
    <t>NV-004</t>
  </si>
  <si>
    <t>羟基积雪草酸</t>
  </si>
  <si>
    <t>madecassic acid</t>
  </si>
  <si>
    <t>NV-005</t>
  </si>
  <si>
    <t>NV-006</t>
  </si>
  <si>
    <t>NV-007</t>
  </si>
  <si>
    <t>木脂素类</t>
  </si>
  <si>
    <t>NV-008</t>
  </si>
  <si>
    <t>gomisin A</t>
  </si>
  <si>
    <t>NV-009</t>
  </si>
  <si>
    <t>NV-010</t>
  </si>
  <si>
    <t>NV-011</t>
  </si>
  <si>
    <t>奥贝胆酸</t>
  </si>
  <si>
    <t>obeticholic acid</t>
  </si>
  <si>
    <t>甾体酸类</t>
  </si>
  <si>
    <t>(阳性参照药)FXR激动剂</t>
  </si>
  <si>
    <t>NV-012</t>
  </si>
  <si>
    <t>category</t>
    <phoneticPr fontId="1" type="noConversion"/>
  </si>
  <si>
    <t>β-乳香</t>
    <phoneticPr fontId="1" type="noConversion"/>
  </si>
  <si>
    <t>boswellic acid</t>
  </si>
  <si>
    <t>五味子甲</t>
    <phoneticPr fontId="1" type="noConversion"/>
  </si>
  <si>
    <t>去氢松香</t>
    <phoneticPr fontId="1" type="noConversion"/>
  </si>
  <si>
    <t>松脂</t>
    <phoneticPr fontId="1" type="noConversion"/>
  </si>
  <si>
    <t>落叶松脂</t>
    <phoneticPr fontId="1" type="noConversion"/>
  </si>
  <si>
    <t>戈米辛</t>
    <phoneticPr fontId="1" type="noConversion"/>
  </si>
  <si>
    <t>灵芝酸</t>
    <phoneticPr fontId="1" type="noConversion"/>
  </si>
  <si>
    <t>asiatic acid  A</t>
    <phoneticPr fontId="1" type="noConversion"/>
  </si>
  <si>
    <t>dehydroabietic acid</t>
    <phoneticPr fontId="1" type="noConversion"/>
  </si>
  <si>
    <t>schisandrin A</t>
    <phoneticPr fontId="1" type="noConversion"/>
  </si>
  <si>
    <t>pinoresinol</t>
    <phoneticPr fontId="1" type="noConversion"/>
  </si>
  <si>
    <t>lariciresinol</t>
    <phoneticPr fontId="1" type="noConversion"/>
  </si>
  <si>
    <t>三萜,</t>
    <phoneticPr fontId="1" type="noConversion"/>
  </si>
  <si>
    <t>三萜</t>
    <phoneticPr fontId="1" type="noConversion"/>
  </si>
  <si>
    <t>木脂素类,</t>
    <phoneticPr fontId="1" type="noConversion"/>
  </si>
  <si>
    <t>枇杷,熊果</t>
    <phoneticPr fontId="1" type="noConversion"/>
  </si>
  <si>
    <t>木脂素类</t>
    <phoneticPr fontId="1" type="noConversion"/>
  </si>
  <si>
    <t>,橄榄,山楂</t>
    <phoneticPr fontId="1" type="noConversion"/>
  </si>
  <si>
    <t>松香/络石</t>
    <phoneticPr fontId="1" type="noConversion"/>
  </si>
  <si>
    <t>五味</t>
    <phoneticPr fontId="1" type="noConversion"/>
  </si>
  <si>
    <t>连翘/杜仲</t>
    <phoneticPr fontId="1" type="noConversion"/>
  </si>
  <si>
    <t>灵芝</t>
    <phoneticPr fontId="1" type="noConversion"/>
  </si>
  <si>
    <t>五味子木脂素；骨架简演示</t>
  </si>
  <si>
    <t>积雪草</t>
    <phoneticPr fontId="1" type="noConversion"/>
  </si>
  <si>
    <t>乳香</t>
    <phoneticPr fontId="1" type="noConversion"/>
  </si>
  <si>
    <t>二萜</t>
    <phoneticPr fontId="1" type="noConversion"/>
  </si>
  <si>
    <t>五味子</t>
    <phoneticPr fontId="1" type="noConversion"/>
  </si>
  <si>
    <t>连翘/亚麻</t>
    <phoneticPr fontId="1" type="noConversion"/>
  </si>
  <si>
    <t>Column6</t>
    <phoneticPr fontId="1" type="noConversion"/>
  </si>
  <si>
    <t>Column5</t>
    <phoneticPr fontId="1" type="noConversion"/>
  </si>
  <si>
    <t>Column52</t>
  </si>
  <si>
    <t>CAS</t>
    <phoneticPr fontId="1" type="noConversion"/>
  </si>
  <si>
    <t>4547-24-4</t>
    <phoneticPr fontId="1" type="noConversion"/>
  </si>
  <si>
    <t>4373-41-5</t>
    <phoneticPr fontId="1" type="noConversion"/>
  </si>
  <si>
    <t>464-92-6</t>
    <phoneticPr fontId="1" type="noConversion"/>
  </si>
  <si>
    <t>18449-41-7</t>
    <phoneticPr fontId="1" type="noConversion"/>
  </si>
  <si>
    <t>631-69-6</t>
    <phoneticPr fontId="1" type="noConversion"/>
  </si>
  <si>
    <t>1740-19-8</t>
    <phoneticPr fontId="1" type="noConversion"/>
  </si>
  <si>
    <t>61281-38-7</t>
    <phoneticPr fontId="1" type="noConversion"/>
  </si>
  <si>
    <t>58546-55-7</t>
    <phoneticPr fontId="1" type="noConversion"/>
  </si>
  <si>
    <t>487-39-8</t>
    <phoneticPr fontId="1" type="noConversion"/>
  </si>
  <si>
    <t>27003-73-2</t>
    <phoneticPr fontId="1" type="noConversion"/>
  </si>
  <si>
    <t>459789-99-2</t>
    <phoneticPr fontId="1" type="noConversion"/>
  </si>
  <si>
    <t>81907-62-2</t>
    <phoneticPr fontId="1" type="noConversion"/>
  </si>
  <si>
    <t>CC1CC2=CC(=C(C(=C2C3=C(C(=C(C=C3CC1C)OC)OC)OC)OC)OC)OC</t>
    <phoneticPr fontId="1" type="noConversion"/>
  </si>
  <si>
    <t>C[C@@]12CC[C@@H]3[C@@]([C@H]1CC=C4[C@]2(CC[C@@]5([C@H]4CC(CC5)(C)C)C(=O)O)C)(C[C@H]([C@@H](C3(C)C)O)O)C</t>
    <phoneticPr fontId="1" type="noConversion"/>
  </si>
  <si>
    <t>C[C@@H]1CC[C@@]2(CC[C@@]3(C(=CC[C@H]4[C@]3(CC[C@@H]5[C@@]4(C[C@H]([C@@H](C5(C)C)O)O)C)C)[C@@H]2[C@H]1C)C)C(=O)O</t>
    <phoneticPr fontId="1" type="noConversion"/>
  </si>
  <si>
    <t>C[C@@H]1CC[C@@]2(CC[C@@]3(C(=CC[C@H]4[C@]3(CC[C@@H]5[C@@]4(C[C@H]([C@@H]([C@@]5(C)CO)O)O)C)C)[C@@H]2[C@H]1C)C)C(=O)O</t>
    <phoneticPr fontId="1" type="noConversion"/>
  </si>
  <si>
    <t>C[C@@H]1CC[C@@]2(CC[C@@]3(C(=CC[C@H]4[C@]3(C[C@H]([C@@H]5[C@@]4(C[C@H]([C@@H]([C@@]5(C)CO)O)O)C)O)C)[C@@H]2[C@H]1C)C)C(=O)O</t>
    <phoneticPr fontId="1" type="noConversion"/>
  </si>
  <si>
    <t>C[C@@H]1CC[C@@]2(CC[C@@]3(C(=CC[C@H]4[C@]3(CC[C@@H]5[C@@]4(CC[C@H]([C@]5(C)C(=O)O)O)C)C)[C@@H]2[C@H]1C)C)C</t>
    <phoneticPr fontId="1" type="noConversion"/>
  </si>
  <si>
    <t>COC1=C(C=CC(=C1)C[C@H]2CO[C@@H]([C@H]2CO)C3=CC(=C(C=C3)O)OC)O</t>
    <phoneticPr fontId="1" type="noConversion"/>
  </si>
  <si>
    <t>COC1=C(C=C(C=C1)[C@H]2[C@H]3CO[C@@H]([C@H]3CO2)C4=CC(=C(C=C4)O)OC)OC</t>
    <phoneticPr fontId="1" type="noConversion"/>
  </si>
  <si>
    <t>C/C=C(/C)\C(=O)O[C@H]1C2=CC(=C(C(=C2C3=C(C4=C(C=C3C[C@@H]([C@]1(C)O)C)OCO4)OC)OC)OC)OC</t>
    <phoneticPr fontId="1" type="noConversion"/>
  </si>
  <si>
    <t>C[C@H](CC(=O)C[C@@H](C)C(=O)O)[C@H]1C[C@@H]([C@@]2([C@@]1(CC(=O)C3=C2[C@H](C[C@@H]4[C@@]3(CCC(=O)C4(C)C)C)O)C)C)O</t>
    <phoneticPr fontId="1" type="noConversion"/>
  </si>
  <si>
    <t>CC[C@@H]1[C@@H]2C[C@@H](CC[C@@]2([C@H]3CC[C@]4([C@H]([C@@H]3[C@@H]1O)CC[C@@H]4[C@H](C)CCC(=O)O)C)C)O</t>
    <phoneticPr fontId="1" type="noConversion"/>
  </si>
  <si>
    <t>CC(C)C1=CC2=C(C=C1)[C@]3(CCC[C@@]([C@@H]3CC2)(C)C(=O)O)C</t>
    <phoneticPr fontId="1" type="noConversion"/>
  </si>
  <si>
    <t>ADMET预测表明该化合物理化参数符合Lipinski五规则与Veber规则，肠道吸收良好，但血浆蛋白结合率高，且存在显著的肾毒性、致癌、人肝毒性等多种毒性风险，成药性受限。</t>
    <phoneticPr fontId="1" type="noConversion"/>
  </si>
  <si>
    <t>ADMET预测表明该化合物理化性质符合类药性筛选标准，血脑穿透性低；但血浆蛋白结合率高，可抑制肝脏转运体，存在高肾毒性、耳毒性风险，人肝毒性为中等风险，成药性存在一定缺陷。</t>
    <phoneticPr fontId="1" type="noConversion"/>
  </si>
  <si>
    <t xml:space="preserve"> 含积雪草苷等活性三萜，抑制炎症通路，减轻肝损伤、肝纤维化</t>
    <phoneticPr fontId="1" type="noConversion"/>
  </si>
  <si>
    <t>积雪草提取物伴生成分，肠道吸收良好，口服利用度潜力高，血浆蛋白结合率76.3%；可抑制OATP1B1，存在高皮肤致敏、肾毒性、耳毒性，人肝毒性中等</t>
    <phoneticPr fontId="1" type="noConversion"/>
  </si>
  <si>
    <t xml:space="preserve"> 脂氧合酶（LOX）抑制剂，发挥抗炎作用，用于肝胆炎症研究</t>
    <phoneticPr fontId="1" type="noConversion"/>
  </si>
  <si>
    <t xml:space="preserve"> 具有抗炎、抗氧化、抗肝损伤活性，用于肝损伤研究</t>
    <phoneticPr fontId="1" type="noConversion"/>
  </si>
  <si>
    <t>联苯环辛二烯母核，调控PXR与胆汁酸转运，缓解胆汁淤积肝损伤</t>
    <phoneticPr fontId="1" type="noConversion"/>
  </si>
  <si>
    <t>连翘特征成分，减轻胆汁淤积性肝损伤、抑制炎症反应</t>
    <phoneticPr fontId="1" type="noConversion"/>
  </si>
  <si>
    <t>清除自由基，减轻氧化应激介导的肝细胞损伤</t>
    <phoneticPr fontId="1" type="noConversion"/>
  </si>
  <si>
    <t>原发性胆汁性胆管炎，方法学阳性参考 用于细胞/动物模型，验证实验体系可靠性</t>
    <phoneticPr fontId="1" type="noConversion"/>
  </si>
  <si>
    <t>灵芝三萜；抗炎、抗肝纤维化，调节胆汁代谢，常用于肝病药理研究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</si>
</sst>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1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B6005E-9793-4F24-AB60-C4E8E64284CE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8" dataBound="0" tableColumnId="8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C469DC-E4E3-4C31-8D40-65D6CA916B8D}" name="novel_terpenes_lignans" displayName="novel_terpenes_lignans" ref="A1:H15" tableType="queryTable" totalsRowCount="1" headerRowDxfId="18" dataDxfId="17" totalsRowDxfId="16">
  <autoFilter ref="A1:H14" xr:uid="{52C469DC-E4E3-4C31-8D40-65D6CA916B8D}"/>
  <tableColumns count="8">
    <tableColumn id="1" xr3:uid="{3E41C13C-4233-4E15-B401-AD6B6A4E8C43}" uniqueName="1" name="Column1" queryTableFieldId="1" dataDxfId="15" totalsRowDxfId="7"/>
    <tableColumn id="2" xr3:uid="{0066C1EC-3A26-44DD-8098-A55E2FEF2BFF}" uniqueName="2" name="Column2" queryTableFieldId="2" dataDxfId="14" totalsRowDxfId="6"/>
    <tableColumn id="3" xr3:uid="{6490A292-36F5-4201-AD21-5DA8619A6252}" uniqueName="3" name="Column3" queryTableFieldId="3" dataDxfId="13" totalsRowDxfId="5"/>
    <tableColumn id="4" xr3:uid="{6BA012E5-583C-473C-9636-574709AD8EF0}" uniqueName="4" name="Column4" totalsRowFunction="custom" queryTableFieldId="4" dataDxfId="12" totalsRowDxfId="4">
      <totalsRowFormula>CLEAN(D20)</totalsRowFormula>
    </tableColumn>
    <tableColumn id="5" xr3:uid="{1CB0DB28-7464-489A-91E8-E3192BA4A436}" uniqueName="5" name="Column5" queryTableFieldId="5" dataDxfId="11" totalsRowDxfId="3"/>
    <tableColumn id="8" xr3:uid="{26D2BF44-FC59-47AB-B5B8-C0952A97EFFE}" uniqueName="8" name="Column52" queryTableFieldId="8" dataDxfId="10" totalsRowDxfId="2"/>
    <tableColumn id="6" xr3:uid="{DA6293DE-716F-44B8-AF46-E37E1422CBBA}" uniqueName="6" name="Column6" queryTableFieldId="6" dataDxfId="9" totalsRowDxfId="1"/>
    <tableColumn id="7" xr3:uid="{5544B046-3F05-4346-9D61-6D2802D3776B}" uniqueName="7" name="Column7" queryTableFieldId="7" dataDxfId="8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04B5-6C6B-41EB-BC7D-F34B570ABCB1}">
  <dimension ref="A1:H15"/>
  <sheetViews>
    <sheetView tabSelected="1" topLeftCell="H1" zoomScale="86" zoomScaleNormal="86" workbookViewId="0">
      <selection activeCell="H16" sqref="H16"/>
    </sheetView>
  </sheetViews>
  <sheetFormatPr defaultRowHeight="14" x14ac:dyDescent="0.3"/>
  <cols>
    <col min="1" max="1" width="12.33203125" bestFit="1" customWidth="1"/>
    <col min="2" max="2" width="27.9140625" bestFit="1" customWidth="1"/>
    <col min="3" max="3" width="26.6640625" customWidth="1"/>
    <col min="4" max="4" width="27.6640625" customWidth="1"/>
    <col min="5" max="5" width="27.4140625" customWidth="1"/>
    <col min="6" max="6" width="23.33203125" customWidth="1"/>
    <col min="7" max="7" width="130.08203125" customWidth="1"/>
    <col min="8" max="8" width="15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69</v>
      </c>
      <c r="G1" s="1" t="s">
        <v>67</v>
      </c>
      <c r="H1" s="1" t="s">
        <v>4</v>
      </c>
    </row>
    <row r="2" spans="1:8" x14ac:dyDescent="0.3">
      <c r="A2" s="1" t="s">
        <v>5</v>
      </c>
      <c r="B2" s="1" t="s">
        <v>6</v>
      </c>
      <c r="C2" s="1" t="s">
        <v>7</v>
      </c>
      <c r="D2" s="1" t="s">
        <v>37</v>
      </c>
      <c r="E2" s="1" t="s">
        <v>8</v>
      </c>
      <c r="F2" s="1" t="s">
        <v>70</v>
      </c>
      <c r="G2" s="1" t="s">
        <v>9</v>
      </c>
      <c r="H2" s="1" t="s">
        <v>10</v>
      </c>
    </row>
    <row r="3" spans="1:8" x14ac:dyDescent="0.3">
      <c r="A3" s="1" t="s">
        <v>11</v>
      </c>
      <c r="B3" s="1" t="s">
        <v>12</v>
      </c>
      <c r="C3" s="1" t="s">
        <v>13</v>
      </c>
      <c r="D3" s="1" t="s">
        <v>51</v>
      </c>
      <c r="E3" s="1" t="s">
        <v>54</v>
      </c>
      <c r="F3" s="1" t="s">
        <v>71</v>
      </c>
      <c r="G3" s="2" t="s">
        <v>85</v>
      </c>
      <c r="H3" s="5" t="s">
        <v>95</v>
      </c>
    </row>
    <row r="4" spans="1:8" x14ac:dyDescent="0.3">
      <c r="A4" s="1" t="s">
        <v>14</v>
      </c>
      <c r="B4" s="1" t="s">
        <v>15</v>
      </c>
      <c r="C4" s="1" t="s">
        <v>16</v>
      </c>
      <c r="D4" s="1" t="s">
        <v>52</v>
      </c>
      <c r="E4" s="1" t="s">
        <v>56</v>
      </c>
      <c r="F4" s="1" t="s">
        <v>72</v>
      </c>
      <c r="G4" s="2" t="s">
        <v>84</v>
      </c>
      <c r="H4" s="6" t="s">
        <v>96</v>
      </c>
    </row>
    <row r="5" spans="1:8" x14ac:dyDescent="0.3">
      <c r="A5" s="1" t="s">
        <v>17</v>
      </c>
      <c r="B5" s="1" t="s">
        <v>18</v>
      </c>
      <c r="C5" s="1" t="s">
        <v>19</v>
      </c>
      <c r="D5" s="1" t="s">
        <v>52</v>
      </c>
      <c r="E5" s="1" t="s">
        <v>62</v>
      </c>
      <c r="F5" s="1" t="s">
        <v>73</v>
      </c>
      <c r="G5" s="2" t="s">
        <v>86</v>
      </c>
      <c r="H5" s="1" t="s">
        <v>97</v>
      </c>
    </row>
    <row r="6" spans="1:8" x14ac:dyDescent="0.3">
      <c r="A6" s="1" t="s">
        <v>20</v>
      </c>
      <c r="B6" s="1" t="s">
        <v>21</v>
      </c>
      <c r="C6" s="1" t="s">
        <v>22</v>
      </c>
      <c r="D6" s="1" t="s">
        <v>52</v>
      </c>
      <c r="E6" s="1" t="s">
        <v>62</v>
      </c>
      <c r="F6" s="1" t="s">
        <v>74</v>
      </c>
      <c r="G6" s="3" t="s">
        <v>87</v>
      </c>
      <c r="H6" s="1" t="s">
        <v>98</v>
      </c>
    </row>
    <row r="7" spans="1:8" x14ac:dyDescent="0.3">
      <c r="A7" s="1" t="s">
        <v>23</v>
      </c>
      <c r="B7" s="1" t="s">
        <v>38</v>
      </c>
      <c r="C7" s="1" t="s">
        <v>39</v>
      </c>
      <c r="D7" s="1" t="s">
        <v>52</v>
      </c>
      <c r="E7" s="1" t="s">
        <v>63</v>
      </c>
      <c r="F7" s="1" t="s">
        <v>75</v>
      </c>
      <c r="G7" s="2" t="s">
        <v>88</v>
      </c>
      <c r="H7" s="1" t="s">
        <v>99</v>
      </c>
    </row>
    <row r="8" spans="1:8" x14ac:dyDescent="0.3">
      <c r="A8" s="1" t="s">
        <v>24</v>
      </c>
      <c r="B8" s="1" t="s">
        <v>41</v>
      </c>
      <c r="C8" s="1" t="s">
        <v>47</v>
      </c>
      <c r="D8" s="1" t="s">
        <v>64</v>
      </c>
      <c r="E8" s="1" t="s">
        <v>57</v>
      </c>
      <c r="F8" s="1" t="s">
        <v>76</v>
      </c>
      <c r="G8" s="4" t="s">
        <v>94</v>
      </c>
      <c r="H8" s="1" t="s">
        <v>100</v>
      </c>
    </row>
    <row r="9" spans="1:8" x14ac:dyDescent="0.3">
      <c r="A9" s="1" t="s">
        <v>25</v>
      </c>
      <c r="B9" s="1" t="s">
        <v>40</v>
      </c>
      <c r="C9" s="1" t="s">
        <v>48</v>
      </c>
      <c r="D9" s="1" t="s">
        <v>55</v>
      </c>
      <c r="E9" s="1" t="s">
        <v>65</v>
      </c>
      <c r="F9" s="1" t="s">
        <v>77</v>
      </c>
      <c r="G9" s="2" t="s">
        <v>83</v>
      </c>
      <c r="H9" s="1" t="s">
        <v>101</v>
      </c>
    </row>
    <row r="10" spans="1:8" x14ac:dyDescent="0.3">
      <c r="A10" s="1" t="s">
        <v>27</v>
      </c>
      <c r="B10" s="1" t="s">
        <v>44</v>
      </c>
      <c r="C10" s="1" t="s">
        <v>28</v>
      </c>
      <c r="D10" s="1" t="s">
        <v>26</v>
      </c>
      <c r="E10" s="1" t="s">
        <v>58</v>
      </c>
      <c r="F10" s="1" t="s">
        <v>78</v>
      </c>
      <c r="G10" s="2" t="s">
        <v>91</v>
      </c>
      <c r="H10" s="1" t="s">
        <v>61</v>
      </c>
    </row>
    <row r="11" spans="1:8" ht="13" customHeight="1" x14ac:dyDescent="0.3">
      <c r="A11" s="1" t="s">
        <v>29</v>
      </c>
      <c r="B11" s="1" t="s">
        <v>42</v>
      </c>
      <c r="C11" s="1" t="s">
        <v>49</v>
      </c>
      <c r="D11" s="1" t="s">
        <v>53</v>
      </c>
      <c r="E11" s="1" t="s">
        <v>59</v>
      </c>
      <c r="F11" s="1" t="s">
        <v>79</v>
      </c>
      <c r="G11" s="4" t="s">
        <v>90</v>
      </c>
      <c r="H11" s="1" t="s">
        <v>102</v>
      </c>
    </row>
    <row r="12" spans="1:8" x14ac:dyDescent="0.3">
      <c r="A12" s="1" t="s">
        <v>30</v>
      </c>
      <c r="B12" s="1" t="s">
        <v>43</v>
      </c>
      <c r="C12" s="1" t="s">
        <v>50</v>
      </c>
      <c r="D12" s="1" t="s">
        <v>55</v>
      </c>
      <c r="E12" s="1" t="s">
        <v>66</v>
      </c>
      <c r="F12" s="1" t="s">
        <v>80</v>
      </c>
      <c r="G12" s="2" t="s">
        <v>89</v>
      </c>
      <c r="H12" s="1" t="s">
        <v>103</v>
      </c>
    </row>
    <row r="13" spans="1:8" x14ac:dyDescent="0.3">
      <c r="A13" s="1" t="s">
        <v>31</v>
      </c>
      <c r="B13" s="1" t="s">
        <v>32</v>
      </c>
      <c r="C13" s="1" t="s">
        <v>33</v>
      </c>
      <c r="D13" s="1" t="s">
        <v>34</v>
      </c>
      <c r="E13" s="1" t="s">
        <v>35</v>
      </c>
      <c r="F13" s="1" t="s">
        <v>81</v>
      </c>
      <c r="G13" s="4" t="s">
        <v>93</v>
      </c>
      <c r="H13" s="1" t="s">
        <v>104</v>
      </c>
    </row>
    <row r="14" spans="1:8" x14ac:dyDescent="0.3">
      <c r="A14" s="1" t="s">
        <v>36</v>
      </c>
      <c r="B14" s="1" t="s">
        <v>45</v>
      </c>
      <c r="C14" s="1" t="s">
        <v>46</v>
      </c>
      <c r="D14" s="1" t="s">
        <v>51</v>
      </c>
      <c r="E14" s="1" t="s">
        <v>60</v>
      </c>
      <c r="F14" s="1" t="s">
        <v>82</v>
      </c>
      <c r="G14" s="2" t="s">
        <v>92</v>
      </c>
      <c r="H14" s="1" t="s">
        <v>105</v>
      </c>
    </row>
    <row r="15" spans="1:8" x14ac:dyDescent="0.3">
      <c r="A15" s="1"/>
      <c r="B15" s="1"/>
      <c r="C15" s="1"/>
      <c r="D15" s="1" t="str">
        <f>CLEAN(D20)</f>
        <v/>
      </c>
      <c r="E15" s="1"/>
      <c r="F15" s="1"/>
      <c r="G15" s="1"/>
      <c r="H15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8061-42C7-4F8E-BA31-0FC1B83373B2}">
  <dimension ref="A1"/>
  <sheetViews>
    <sheetView workbookViewId="0">
      <selection activeCell="I8" sqref="I8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393760-7655-42EF-A346-9EDDA5D27C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novel_terpenes_lignans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1113607241@qq.com</dc:creator>
  <cp:lastModifiedBy>1113607241@qq.com</cp:lastModifiedBy>
  <dcterms:created xsi:type="dcterms:W3CDTF">2026-09-21T11:38:24Z</dcterms:created>
  <dcterms:modified xsi:type="dcterms:W3CDTF">2026-10-07T06:55:26Z</dcterms:modified>
</cp:coreProperties>
</file>